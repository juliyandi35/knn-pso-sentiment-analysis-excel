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Kerjaan\Project A6408 (KNN PSO Sentiment Analysis)\"/>
    </mc:Choice>
  </mc:AlternateContent>
  <xr:revisionPtr revIDLastSave="0" documentId="13_ncr:1_{6363B2B0-3EC5-4618-B5C6-6BD359878745}" xr6:coauthVersionLast="47" xr6:coauthVersionMax="47" xr10:uidLastSave="{00000000-0000-0000-0000-000000000000}"/>
  <bookViews>
    <workbookView minimized="1" xWindow="5140" yWindow="3150" windowWidth="14400" windowHeight="7270" xr2:uid="{00000000-000D-0000-FFFF-FFFF00000000}"/>
  </bookViews>
  <sheets>
    <sheet name="TF I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1" l="1"/>
  <c r="AK9" i="1"/>
  <c r="AF13" i="1"/>
  <c r="AF7" i="1"/>
  <c r="AE4" i="1"/>
  <c r="AE11" i="1"/>
  <c r="T19" i="1" l="1"/>
  <c r="S4" i="1"/>
  <c r="R4" i="1"/>
  <c r="M4" i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5" i="1"/>
  <c r="S15" i="1" s="1"/>
  <c r="R16" i="1"/>
  <c r="S16" i="1" s="1"/>
  <c r="I17" i="1"/>
  <c r="N8" i="1" s="1"/>
  <c r="J17" i="1"/>
  <c r="O7" i="1" s="1"/>
  <c r="K17" i="1"/>
  <c r="P6" i="1" s="1"/>
  <c r="L17" i="1"/>
  <c r="Q5" i="1" s="1"/>
  <c r="H17" i="1"/>
  <c r="M5" i="1" s="1"/>
  <c r="T5" i="1" s="1"/>
  <c r="V7" i="1" l="1"/>
  <c r="W6" i="1"/>
  <c r="N15" i="1"/>
  <c r="U15" i="1" s="1"/>
  <c r="P13" i="1"/>
  <c r="W13" i="1" s="1"/>
  <c r="N4" i="1"/>
  <c r="U4" i="1" s="1"/>
  <c r="N11" i="1"/>
  <c r="U11" i="1" s="1"/>
  <c r="N16" i="1"/>
  <c r="U16" i="1" s="1"/>
  <c r="M11" i="1"/>
  <c r="T11" i="1" s="1"/>
  <c r="O9" i="1"/>
  <c r="V9" i="1" s="1"/>
  <c r="O6" i="1"/>
  <c r="V6" i="1" s="1"/>
  <c r="U8" i="1"/>
  <c r="M16" i="1"/>
  <c r="T16" i="1" s="1"/>
  <c r="O13" i="1"/>
  <c r="V13" i="1" s="1"/>
  <c r="O10" i="1"/>
  <c r="V10" i="1" s="1"/>
  <c r="M8" i="1"/>
  <c r="T8" i="1" s="1"/>
  <c r="N6" i="1"/>
  <c r="U6" i="1" s="1"/>
  <c r="X5" i="1"/>
  <c r="T4" i="1"/>
  <c r="O15" i="1"/>
  <c r="V15" i="1" s="1"/>
  <c r="M12" i="1"/>
  <c r="T12" i="1" s="1"/>
  <c r="N10" i="1"/>
  <c r="U10" i="1" s="1"/>
  <c r="N7" i="1"/>
  <c r="U7" i="1" s="1"/>
  <c r="P5" i="1"/>
  <c r="W5" i="1" s="1"/>
  <c r="P9" i="1"/>
  <c r="W9" i="1" s="1"/>
  <c r="M7" i="1"/>
  <c r="T7" i="1" s="1"/>
  <c r="O5" i="1"/>
  <c r="V5" i="1" s="1"/>
  <c r="Q16" i="1"/>
  <c r="X16" i="1" s="1"/>
  <c r="P12" i="1"/>
  <c r="W12" i="1" s="1"/>
  <c r="P8" i="1"/>
  <c r="W8" i="1" s="1"/>
  <c r="Q7" i="1"/>
  <c r="X7" i="1" s="1"/>
  <c r="P4" i="1"/>
  <c r="W4" i="1" s="1"/>
  <c r="P16" i="1"/>
  <c r="W16" i="1" s="1"/>
  <c r="Q15" i="1"/>
  <c r="X15" i="1" s="1"/>
  <c r="M15" i="1"/>
  <c r="T15" i="1" s="1"/>
  <c r="N13" i="1"/>
  <c r="U13" i="1" s="1"/>
  <c r="O12" i="1"/>
  <c r="V12" i="1" s="1"/>
  <c r="P11" i="1"/>
  <c r="W11" i="1" s="1"/>
  <c r="Q10" i="1"/>
  <c r="X10" i="1" s="1"/>
  <c r="M10" i="1"/>
  <c r="T10" i="1" s="1"/>
  <c r="N9" i="1"/>
  <c r="U9" i="1" s="1"/>
  <c r="O8" i="1"/>
  <c r="V8" i="1" s="1"/>
  <c r="P7" i="1"/>
  <c r="W7" i="1" s="1"/>
  <c r="Q6" i="1"/>
  <c r="X6" i="1" s="1"/>
  <c r="M6" i="1"/>
  <c r="T6" i="1" s="1"/>
  <c r="N5" i="1"/>
  <c r="U5" i="1" s="1"/>
  <c r="Q12" i="1"/>
  <c r="X12" i="1" s="1"/>
  <c r="Q8" i="1"/>
  <c r="X8" i="1" s="1"/>
  <c r="Q4" i="1"/>
  <c r="X4" i="1" s="1"/>
  <c r="Q11" i="1"/>
  <c r="X11" i="1" s="1"/>
  <c r="O4" i="1"/>
  <c r="V4" i="1" s="1"/>
  <c r="O16" i="1"/>
  <c r="V16" i="1" s="1"/>
  <c r="P15" i="1"/>
  <c r="W15" i="1" s="1"/>
  <c r="Q13" i="1"/>
  <c r="X13" i="1" s="1"/>
  <c r="M13" i="1"/>
  <c r="T13" i="1" s="1"/>
  <c r="N12" i="1"/>
  <c r="U12" i="1" s="1"/>
  <c r="O11" i="1"/>
  <c r="V11" i="1" s="1"/>
  <c r="P10" i="1"/>
  <c r="W10" i="1" s="1"/>
  <c r="Q9" i="1"/>
  <c r="X9" i="1" s="1"/>
  <c r="M9" i="1"/>
  <c r="T9" i="1" s="1"/>
  <c r="W19" i="1" l="1"/>
  <c r="W20" i="1"/>
  <c r="U20" i="1"/>
  <c r="X20" i="1"/>
  <c r="X19" i="1"/>
  <c r="AC7" i="1" s="1"/>
  <c r="T20" i="1"/>
  <c r="V20" i="1"/>
  <c r="V19" i="1"/>
  <c r="Z16" i="1" l="1"/>
  <c r="Y15" i="1"/>
  <c r="AB9" i="1"/>
  <c r="AB13" i="1"/>
  <c r="Y4" i="1"/>
  <c r="AC11" i="1"/>
  <c r="AC10" i="1"/>
  <c r="AB12" i="1"/>
  <c r="AC16" i="1"/>
  <c r="AA4" i="1"/>
  <c r="Y11" i="1"/>
  <c r="AB7" i="1"/>
  <c r="Z12" i="1"/>
  <c r="AB15" i="1"/>
  <c r="AA16" i="1"/>
  <c r="AC8" i="1"/>
  <c r="AB10" i="1"/>
  <c r="Y12" i="1"/>
  <c r="AB6" i="1"/>
  <c r="Z9" i="1"/>
  <c r="AB5" i="1"/>
  <c r="AA9" i="1"/>
  <c r="Z13" i="1"/>
  <c r="Z5" i="1"/>
  <c r="Z15" i="1"/>
  <c r="Z4" i="1"/>
  <c r="AC5" i="1"/>
  <c r="Y10" i="1"/>
  <c r="AA12" i="1"/>
  <c r="AA15" i="1"/>
  <c r="Y16" i="1"/>
  <c r="AC12" i="1"/>
  <c r="Y13" i="1"/>
  <c r="AA6" i="1"/>
  <c r="AA5" i="1"/>
  <c r="Z8" i="1"/>
  <c r="AC15" i="1"/>
  <c r="Z10" i="1"/>
  <c r="AB4" i="1"/>
  <c r="AC6" i="1"/>
  <c r="AA10" i="1"/>
  <c r="Y6" i="1"/>
  <c r="AB8" i="1"/>
  <c r="AA7" i="1"/>
  <c r="Y5" i="1"/>
  <c r="AA13" i="1"/>
  <c r="Y9" i="1"/>
  <c r="AC13" i="1"/>
  <c r="Z6" i="1"/>
  <c r="AC9" i="1"/>
  <c r="AB16" i="1"/>
  <c r="AC4" i="1"/>
  <c r="Y8" i="1"/>
  <c r="AA8" i="1"/>
  <c r="Y7" i="1"/>
  <c r="Z7" i="1"/>
  <c r="AA11" i="1"/>
  <c r="AB11" i="1"/>
  <c r="Z11" i="1"/>
  <c r="AD5" i="1" l="1"/>
  <c r="AD4" i="1"/>
  <c r="AE12" i="1"/>
  <c r="AD12" i="1"/>
  <c r="AE8" i="1"/>
  <c r="AD8" i="1"/>
  <c r="AD6" i="1"/>
  <c r="AE6" i="1"/>
  <c r="AD10" i="1"/>
  <c r="AE10" i="1"/>
  <c r="AE5" i="1"/>
  <c r="AD7" i="1"/>
  <c r="AE7" i="1"/>
  <c r="AE9" i="1"/>
  <c r="AD9" i="1"/>
  <c r="AD11" i="1"/>
  <c r="AE13" i="1"/>
  <c r="AD13" i="1"/>
  <c r="AG9" i="1" l="1"/>
  <c r="AG10" i="1"/>
  <c r="AG12" i="1"/>
  <c r="AG7" i="1"/>
  <c r="AG8" i="1"/>
  <c r="AF11" i="1"/>
  <c r="AG6" i="1"/>
  <c r="AF12" i="1"/>
  <c r="AF4" i="1"/>
  <c r="AF8" i="1"/>
  <c r="AG13" i="1"/>
  <c r="AF10" i="1"/>
  <c r="AG11" i="1"/>
  <c r="AG4" i="1"/>
  <c r="AF9" i="1"/>
  <c r="AG5" i="1"/>
  <c r="AF6" i="1"/>
  <c r="AF5" i="1"/>
</calcChain>
</file>

<file path=xl/sharedStrings.xml><?xml version="1.0" encoding="utf-8"?>
<sst xmlns="http://schemas.openxmlformats.org/spreadsheetml/2006/main" count="97" uniqueCount="56">
  <si>
    <t>bsi bank buruk indonesia</t>
  </si>
  <si>
    <t>negatif</t>
  </si>
  <si>
    <t>bagus mantap</t>
  </si>
  <si>
    <t>positif</t>
  </si>
  <si>
    <t>amanah</t>
  </si>
  <si>
    <t>mudah praktis</t>
  </si>
  <si>
    <t>?</t>
  </si>
  <si>
    <t>D1</t>
  </si>
  <si>
    <t>D2</t>
  </si>
  <si>
    <t>D3</t>
  </si>
  <si>
    <t>D4</t>
  </si>
  <si>
    <t>D5</t>
  </si>
  <si>
    <t>Preprocessing</t>
  </si>
  <si>
    <t>['bsi', 'bank', 'buruk', 'indonesia']</t>
  </si>
  <si>
    <t>['bagus', 'mantap']</t>
  </si>
  <si>
    <t>['mudah', 'praktis']</t>
  </si>
  <si>
    <t>error buka aplikasi</t>
  </si>
  <si>
    <t>['error', 'buka', 'aplikasi']</t>
  </si>
  <si>
    <t>['amanah']</t>
  </si>
  <si>
    <t>bsi</t>
  </si>
  <si>
    <t>bank</t>
  </si>
  <si>
    <t>buruk</t>
  </si>
  <si>
    <t>indonesia</t>
  </si>
  <si>
    <t>bagus</t>
  </si>
  <si>
    <t>mantap</t>
  </si>
  <si>
    <t>error</t>
  </si>
  <si>
    <t>buka</t>
  </si>
  <si>
    <t>aplikasi</t>
  </si>
  <si>
    <t>mudah</t>
  </si>
  <si>
    <t>praktis</t>
  </si>
  <si>
    <t>TF</t>
  </si>
  <si>
    <t>Panjang Dokumen</t>
  </si>
  <si>
    <t>TF Normalisasi</t>
  </si>
  <si>
    <t>DF</t>
  </si>
  <si>
    <t>IDF</t>
  </si>
  <si>
    <t>TF.IDF</t>
  </si>
  <si>
    <t>No</t>
  </si>
  <si>
    <t>Data</t>
  </si>
  <si>
    <t>Sentimen</t>
  </si>
  <si>
    <t>Score</t>
  </si>
  <si>
    <t>Normalisasi Data</t>
  </si>
  <si>
    <t>min</t>
  </si>
  <si>
    <t>max</t>
  </si>
  <si>
    <t>Euclidean Distance</t>
  </si>
  <si>
    <t>Data Uji</t>
  </si>
  <si>
    <t>Data Latih</t>
  </si>
  <si>
    <t>Data Uji 1</t>
  </si>
  <si>
    <t>Data Uji 2</t>
  </si>
  <si>
    <t>k-1</t>
  </si>
  <si>
    <t>k-2</t>
  </si>
  <si>
    <t>Confusion Matrix</t>
  </si>
  <si>
    <t>Positif</t>
  </si>
  <si>
    <t>Negatif</t>
  </si>
  <si>
    <t>Aktual</t>
  </si>
  <si>
    <t>Prediction</t>
  </si>
  <si>
    <t>Accuray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</si>
</sst>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2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10" xfId="0" applyFont="1" applyBorder="1"/>
    <xf numFmtId="2" fontId="3" fillId="0" borderId="3" xfId="0" applyNumberFormat="1" applyFont="1" applyBorder="1"/>
    <xf numFmtId="2" fontId="3" fillId="0" borderId="10" xfId="0" applyNumberFormat="1" applyFont="1" applyBorder="1"/>
    <xf numFmtId="0" fontId="3" fillId="0" borderId="11" xfId="0" applyFont="1" applyBorder="1"/>
    <xf numFmtId="1" fontId="3" fillId="0" borderId="0" xfId="0" applyNumberFormat="1" applyFont="1"/>
    <xf numFmtId="0" fontId="3" fillId="0" borderId="5" xfId="0" applyFont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/>
    <xf numFmtId="2" fontId="3" fillId="0" borderId="11" xfId="0" applyNumberFormat="1" applyFont="1" applyBorder="1"/>
    <xf numFmtId="0" fontId="3" fillId="2" borderId="5" xfId="0" applyFont="1" applyFill="1" applyBorder="1" applyAlignment="1">
      <alignment horizontal="center"/>
    </xf>
    <xf numFmtId="0" fontId="4" fillId="0" borderId="11" xfId="0" applyFont="1" applyBorder="1"/>
    <xf numFmtId="0" fontId="4" fillId="0" borderId="0" xfId="0" applyFont="1"/>
    <xf numFmtId="2" fontId="4" fillId="0" borderId="11" xfId="0" applyNumberFormat="1" applyFont="1" applyBorder="1"/>
    <xf numFmtId="0" fontId="3" fillId="0" borderId="7" xfId="0" applyFont="1" applyBorder="1"/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12" xfId="0" applyFont="1" applyBorder="1"/>
    <xf numFmtId="2" fontId="3" fillId="0" borderId="8" xfId="0" applyNumberFormat="1" applyFont="1" applyBorder="1"/>
    <xf numFmtId="0" fontId="4" fillId="0" borderId="12" xfId="0" applyFont="1" applyBorder="1"/>
    <xf numFmtId="0" fontId="4" fillId="0" borderId="8" xfId="0" applyFont="1" applyBorder="1"/>
    <xf numFmtId="2" fontId="4" fillId="0" borderId="12" xfId="0" applyNumberFormat="1" applyFont="1" applyBorder="1"/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2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0" borderId="6" xfId="0" applyFont="1" applyBorder="1"/>
    <xf numFmtId="0" fontId="4" fillId="0" borderId="9" xfId="0" applyFont="1" applyBorder="1"/>
    <xf numFmtId="1" fontId="3" fillId="0" borderId="10" xfId="0" applyNumberFormat="1" applyFont="1" applyBorder="1"/>
    <xf numFmtId="1" fontId="3" fillId="0" borderId="11" xfId="0" applyNumberFormat="1" applyFont="1" applyBorder="1"/>
    <xf numFmtId="1" fontId="4" fillId="0" borderId="11" xfId="0" applyNumberFormat="1" applyFont="1" applyBorder="1"/>
    <xf numFmtId="1" fontId="4" fillId="0" borderId="12" xfId="0" applyNumberFormat="1" applyFont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/>
    </xf>
    <xf numFmtId="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4126D6-988F-4698-977F-1EB33384C70D}">
  <we:reference id="wa104379638" version="1.0.0.0" store="en-US" storeType="OMEX"/>
  <we:alternateReferences>
    <we:reference id="WA104379638" version="1.0.0.0" store="WA104379638" storeType="OMEX"/>
  </we:alternateReferences>
  <we:properties>
    <we:property name="endpoints" value="&quot;[{\&quot;documentationUrl\&quot;:\&quot;https://ussouthcentral.services.azureml.net/workspaces/52a9fe1f0655445a9ec08cbaf87c3ffa/services/2a951e49ed8d43cfbe3afc68aa6d3878/swagger.json\&quot;,\&quot;token\&quot;:\&quot;xSc38GPprrK3FGyGMn5uQEJVD7wNUZgOn2UZt+vrFLMLFAyqGB+YhkF5o0JH57hfUYuIxZ7so1rf5DQ2nDfdGA==\&quot;,\&quot;serviceName\&quot;:\&quot;Titanic Survivor Predictor (Excel Add-in Sample) [Score]\&quot;,\&quot;globalParametersValues\&quot;:{},\&quot;outputCellValues\&quot;:{},\&quot;showOverwriteWarning\&quot;:true},{\&quot;documentationUrl\&quot;:\&quot;https://ussouthcentral.services.azureml.net/odata/workspaces/52a9fe1f0655445a9ec08cbaf87c3ffa/services/0153ed4ecce44d999e7846d8f0e8102a\&quot;,\&quot;token\&quot;:\&quot;QR+dXhrglxsnO5WJ4/s0me85cwO+4WF7FcWVoUUSqFwzGyFCYbMIpzYfSaMwkNdNJGGavTDvVTlNbP1gv9Yh9A==\&quot;,\&quot;serviceName\&quot;:\&quot;Text Sentiment Analysis (Excel Add-in Sample) [Score]\&quot;,\&quot;globalParametersValues\&quot;:{},\&quot;outputCellValues\&quot;:{\&quot;output1\&quot;:{\&quot;id\&quot;:\&quot;'TF IDF'!E1\&quot;,\&quot;includeHeaders\&quot;:true}},\&quot;showOverwriteWarning\&quot;:true,\&quot;inputBindingsAddresses\&quot;:{\&quot;input1\&quot;:{\&quot;bindingAddress\&quot;:\&quot;'TF IDF'!B1:B6\&quot;,\&quot;hasHeaders\&quot;:true}}}]&quot;"/>
  </we:properties>
  <we:bindings>
    <we:binding id="UnnamedBinding_1_1710918641280" type="matrix" appref="{D014CF34-EC86-40C3-9CB9-32CC75842B6C}"/>
    <we:binding id="UnnamedBinding_2_1710918705482" type="matrix" appref="{5200881E-6D71-4949-9226-23E3F8B0F4AA}"/>
    <we:binding id="UnnamedBinding_3_1710918705645" type="matrix" appref="{C61F8AA8-1CAB-43E1-974F-09FB24067D13}"/>
    <we:binding id="'TF IDF'!E1:F6" type="matrix" appref="{1D11D7F3-857A-4BF7-93AF-F0BBCBD773E0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"/>
  <sheetViews>
    <sheetView tabSelected="1" topLeftCell="Y1" workbookViewId="0">
      <selection activeCell="U20" sqref="U20"/>
    </sheetView>
  </sheetViews>
  <sheetFormatPr defaultColWidth="9.1796875" defaultRowHeight="14" x14ac:dyDescent="0.3"/>
  <cols>
    <col min="1" max="1" width="9.1796875" style="23"/>
    <col min="2" max="2" width="29.1796875" style="2" customWidth="1"/>
    <col min="3" max="3" width="9.1796875" style="2"/>
    <col min="4" max="4" width="31.26953125" style="2" customWidth="1"/>
    <col min="5" max="5" width="11.81640625" style="2" customWidth="1"/>
    <col min="6" max="6" width="18.54296875" style="2" customWidth="1"/>
    <col min="7" max="7" width="11" style="2" customWidth="1"/>
    <col min="8" max="12" width="9.1796875" style="23" customWidth="1"/>
    <col min="13" max="19" width="9.1796875" style="2" customWidth="1"/>
    <col min="20" max="20" width="9.54296875" style="2" customWidth="1"/>
    <col min="21" max="29" width="9.1796875" style="2" customWidth="1"/>
    <col min="30" max="30" width="11.1796875" style="2" customWidth="1"/>
    <col min="31" max="31" width="11.26953125" style="2" customWidth="1"/>
    <col min="32" max="16384" width="9.1796875" style="2"/>
  </cols>
  <sheetData>
    <row r="1" spans="1:38" x14ac:dyDescent="0.3">
      <c r="A1" s="1" t="s">
        <v>36</v>
      </c>
      <c r="B1" s="40" t="s">
        <v>37</v>
      </c>
      <c r="C1" s="1" t="s">
        <v>38</v>
      </c>
      <c r="D1" s="1" t="s">
        <v>12</v>
      </c>
      <c r="F1" s="3" t="s">
        <v>39</v>
      </c>
      <c r="G1" s="4"/>
      <c r="H1" s="52" t="s">
        <v>30</v>
      </c>
      <c r="I1" s="53"/>
      <c r="J1" s="53"/>
      <c r="K1" s="53"/>
      <c r="L1" s="54"/>
      <c r="M1" s="52" t="s">
        <v>32</v>
      </c>
      <c r="N1" s="53"/>
      <c r="O1" s="53"/>
      <c r="P1" s="53"/>
      <c r="Q1" s="54"/>
      <c r="R1" s="3" t="s">
        <v>33</v>
      </c>
      <c r="S1" s="3" t="s">
        <v>34</v>
      </c>
      <c r="T1" s="52" t="s">
        <v>35</v>
      </c>
      <c r="U1" s="53"/>
      <c r="V1" s="53"/>
      <c r="W1" s="53"/>
      <c r="X1" s="54"/>
      <c r="Y1" s="55" t="s">
        <v>40</v>
      </c>
      <c r="Z1" s="56"/>
      <c r="AA1" s="56"/>
      <c r="AB1" s="56"/>
      <c r="AC1" s="56"/>
      <c r="AD1" s="57" t="s">
        <v>43</v>
      </c>
      <c r="AE1" s="57"/>
    </row>
    <row r="2" spans="1:38" x14ac:dyDescent="0.3">
      <c r="A2" s="5" t="s">
        <v>7</v>
      </c>
      <c r="B2" s="6" t="s">
        <v>0</v>
      </c>
      <c r="C2" s="6" t="s">
        <v>1</v>
      </c>
      <c r="D2" s="6" t="s">
        <v>13</v>
      </c>
      <c r="F2" s="3"/>
      <c r="G2" s="3"/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/>
      <c r="S2" s="3"/>
      <c r="T2" s="3" t="s">
        <v>7</v>
      </c>
      <c r="U2" s="3" t="s">
        <v>8</v>
      </c>
      <c r="V2" s="3" t="s">
        <v>9</v>
      </c>
      <c r="W2" s="3" t="s">
        <v>10</v>
      </c>
      <c r="X2" s="3" t="s">
        <v>11</v>
      </c>
      <c r="Y2" s="3" t="s">
        <v>7</v>
      </c>
      <c r="Z2" s="3" t="s">
        <v>8</v>
      </c>
      <c r="AA2" s="3" t="s">
        <v>9</v>
      </c>
      <c r="AB2" s="3" t="s">
        <v>10</v>
      </c>
      <c r="AC2" s="3" t="s">
        <v>11</v>
      </c>
      <c r="AD2" s="7" t="s">
        <v>46</v>
      </c>
      <c r="AE2" s="7" t="s">
        <v>47</v>
      </c>
      <c r="AF2" s="7" t="s">
        <v>48</v>
      </c>
      <c r="AG2" s="7" t="s">
        <v>49</v>
      </c>
    </row>
    <row r="3" spans="1:38" x14ac:dyDescent="0.3">
      <c r="A3" s="5" t="s">
        <v>8</v>
      </c>
      <c r="B3" s="6" t="s">
        <v>2</v>
      </c>
      <c r="C3" s="6" t="s">
        <v>3</v>
      </c>
      <c r="D3" s="6" t="s">
        <v>14</v>
      </c>
      <c r="F3" s="8" t="s">
        <v>45</v>
      </c>
      <c r="G3" s="3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7"/>
      <c r="Z3" s="7"/>
      <c r="AA3" s="11"/>
      <c r="AB3" s="11"/>
      <c r="AC3" s="11"/>
      <c r="AF3" s="2">
        <v>10</v>
      </c>
      <c r="AG3" s="2">
        <v>10</v>
      </c>
    </row>
    <row r="4" spans="1:38" x14ac:dyDescent="0.3">
      <c r="A4" s="5" t="s">
        <v>9</v>
      </c>
      <c r="B4" s="6" t="s">
        <v>16</v>
      </c>
      <c r="C4" s="6" t="s">
        <v>1</v>
      </c>
      <c r="D4" s="6" t="s">
        <v>17</v>
      </c>
      <c r="F4" s="12" t="s">
        <v>19</v>
      </c>
      <c r="G4" s="19" t="s">
        <v>1</v>
      </c>
      <c r="H4" s="41">
        <v>1</v>
      </c>
      <c r="I4" s="14">
        <v>0</v>
      </c>
      <c r="J4" s="13">
        <v>0</v>
      </c>
      <c r="K4" s="14">
        <v>0</v>
      </c>
      <c r="L4" s="13">
        <v>0</v>
      </c>
      <c r="M4" s="15">
        <f t="shared" ref="M4:M13" si="0">ROUND(H4/H$17,2)</f>
        <v>0.25</v>
      </c>
      <c r="N4" s="16">
        <f t="shared" ref="N4:Q4" si="1">ROUND(I4/I$17,2)</f>
        <v>0</v>
      </c>
      <c r="O4" s="15">
        <f t="shared" si="1"/>
        <v>0</v>
      </c>
      <c r="P4" s="16">
        <f t="shared" si="1"/>
        <v>0</v>
      </c>
      <c r="Q4" s="15">
        <f t="shared" si="1"/>
        <v>0</v>
      </c>
      <c r="R4" s="16">
        <f>COUNTIF(H4:L4,"&gt;0")</f>
        <v>1</v>
      </c>
      <c r="S4" s="17">
        <f>LOG(5/R4)</f>
        <v>0.69897000433601886</v>
      </c>
      <c r="T4" s="18">
        <f>M4*$S4</f>
        <v>0.17474250108400471</v>
      </c>
      <c r="U4" s="15">
        <f t="shared" ref="U4:X4" si="2">N4*$S4</f>
        <v>0</v>
      </c>
      <c r="V4" s="16">
        <f t="shared" si="2"/>
        <v>0</v>
      </c>
      <c r="W4" s="15">
        <f t="shared" si="2"/>
        <v>0</v>
      </c>
      <c r="X4" s="16">
        <f t="shared" si="2"/>
        <v>0</v>
      </c>
      <c r="Y4" s="16">
        <f t="shared" ref="Y4:Y13" si="3">($T4-$T$20)/$T$19-$T$20</f>
        <v>1</v>
      </c>
      <c r="Z4" s="16">
        <f t="shared" ref="Z4:Z13" si="4">($U4-$T$20)/$T$19-$T$20</f>
        <v>0</v>
      </c>
      <c r="AA4" s="15">
        <f t="shared" ref="AA4:AA13" si="5">($V4-$T$20)/$T$19-$T$20</f>
        <v>0</v>
      </c>
      <c r="AB4" s="48">
        <f t="shared" ref="AB4:AB13" si="6">($W4-$T$20)/$T$19-$T$20</f>
        <v>0</v>
      </c>
      <c r="AC4" s="45">
        <f t="shared" ref="AC4:AC13" si="7">($X4-$X$20)/$X$19-$X$20</f>
        <v>0</v>
      </c>
      <c r="AD4" s="20">
        <f t="shared" ref="AD4:AD13" si="8">SQRT(($Y4-$Y$15)^2+($Z4-$Z$15)^2+($AA4-$AA$15)^2+($AB4-$AB$15)^2+($AC4-$AC$15))</f>
        <v>0</v>
      </c>
      <c r="AE4" s="2">
        <f>SQRT(($Y4-$Y$16)^2+($Z4-$Z$16)^2+($AA4-$AA$16)^2+($AB4-$AB$16)^2+($AC4-$AC$16))</f>
        <v>0</v>
      </c>
      <c r="AF4" s="2" t="str">
        <f>IF($AD4&lt;=SMALL($AD$4:$AD$13,$AF$3),$G4,"")</f>
        <v>negatif</v>
      </c>
      <c r="AG4" s="2" t="str">
        <f>IF($AE4&lt;=SMALL($AE$4:$AE$13,$AG$3),$G4,"")</f>
        <v>negatif</v>
      </c>
      <c r="AI4" s="58"/>
      <c r="AJ4" s="58"/>
      <c r="AK4" s="6" t="s">
        <v>50</v>
      </c>
      <c r="AL4" s="6"/>
    </row>
    <row r="5" spans="1:38" x14ac:dyDescent="0.3">
      <c r="A5" s="5" t="s">
        <v>10</v>
      </c>
      <c r="B5" s="6" t="s">
        <v>4</v>
      </c>
      <c r="C5" s="6" t="s">
        <v>3</v>
      </c>
      <c r="D5" s="6" t="s">
        <v>18</v>
      </c>
      <c r="F5" s="21" t="s">
        <v>20</v>
      </c>
      <c r="G5" s="19" t="s">
        <v>1</v>
      </c>
      <c r="H5" s="42">
        <v>1</v>
      </c>
      <c r="I5" s="23">
        <v>0</v>
      </c>
      <c r="J5" s="22">
        <v>0</v>
      </c>
      <c r="K5" s="23">
        <v>0</v>
      </c>
      <c r="L5" s="22">
        <v>0</v>
      </c>
      <c r="M5" s="2">
        <f t="shared" si="0"/>
        <v>0.25</v>
      </c>
      <c r="N5" s="19">
        <f t="shared" ref="N5:N13" si="9">ROUND(I5/I$17,2)</f>
        <v>0</v>
      </c>
      <c r="O5" s="2">
        <f t="shared" ref="O5:O13" si="10">ROUND(J5/J$17,2)</f>
        <v>0</v>
      </c>
      <c r="P5" s="19">
        <f t="shared" ref="P5:P13" si="11">ROUND(K5/K$17,2)</f>
        <v>0</v>
      </c>
      <c r="Q5" s="2">
        <f t="shared" ref="Q5:Q13" si="12">ROUND(L5/L$17,2)</f>
        <v>0</v>
      </c>
      <c r="R5" s="19">
        <f t="shared" ref="R5:R16" si="13">COUNTIF(H5:L5,"&gt;0")</f>
        <v>1</v>
      </c>
      <c r="S5" s="24">
        <f t="shared" ref="S5:S16" si="14">LOG(5/R5)</f>
        <v>0.69897000433601886</v>
      </c>
      <c r="T5" s="25">
        <f t="shared" ref="T5:T16" si="15">M5*$S5</f>
        <v>0.17474250108400471</v>
      </c>
      <c r="U5" s="2">
        <f t="shared" ref="U5:U16" si="16">N5*$S5</f>
        <v>0</v>
      </c>
      <c r="V5" s="19">
        <f t="shared" ref="V5:V16" si="17">O5*$S5</f>
        <v>0</v>
      </c>
      <c r="W5" s="2">
        <f t="shared" ref="W5:W16" si="18">P5*$S5</f>
        <v>0</v>
      </c>
      <c r="X5" s="19">
        <f t="shared" ref="X5:X16" si="19">Q5*$S5</f>
        <v>0</v>
      </c>
      <c r="Y5" s="19">
        <f t="shared" si="3"/>
        <v>1</v>
      </c>
      <c r="Z5" s="19">
        <f t="shared" si="4"/>
        <v>0</v>
      </c>
      <c r="AA5" s="2">
        <f t="shared" si="5"/>
        <v>0</v>
      </c>
      <c r="AB5" s="49">
        <f t="shared" si="6"/>
        <v>0</v>
      </c>
      <c r="AC5" s="43">
        <f t="shared" si="7"/>
        <v>0</v>
      </c>
      <c r="AD5" s="2">
        <f t="shared" si="8"/>
        <v>0</v>
      </c>
      <c r="AE5" s="2">
        <f t="shared" ref="AE4:AE13" si="20">SQRT(($Y5-$Y$16)^2+($Z5-$Z$16)^2+($AA5-$AA$16)^2+($AB5-$AB$16)^2+($AC5-$AC$16))</f>
        <v>0</v>
      </c>
      <c r="AF5" s="2" t="str">
        <f t="shared" ref="AF5:AF13" si="21">IF($AD5&lt;=SMALL($AD$4:$AD$13,$AF$3),$G5,"")</f>
        <v>negatif</v>
      </c>
      <c r="AG5" s="2" t="str">
        <f t="shared" ref="AG5:AG13" si="22">IF($AE5&lt;=SMALL($AE$4:$AE$13,$AG$3),$G5,"")</f>
        <v>negatif</v>
      </c>
      <c r="AI5" s="58"/>
      <c r="AJ5" s="58"/>
      <c r="AK5" s="58" t="s">
        <v>54</v>
      </c>
      <c r="AL5" s="58"/>
    </row>
    <row r="6" spans="1:38" x14ac:dyDescent="0.3">
      <c r="A6" s="5" t="s">
        <v>11</v>
      </c>
      <c r="B6" s="6" t="s">
        <v>5</v>
      </c>
      <c r="C6" s="6" t="s">
        <v>6</v>
      </c>
      <c r="D6" s="6" t="s">
        <v>15</v>
      </c>
      <c r="F6" s="21" t="s">
        <v>21</v>
      </c>
      <c r="G6" s="19" t="s">
        <v>1</v>
      </c>
      <c r="H6" s="42">
        <v>1</v>
      </c>
      <c r="I6" s="23">
        <v>0</v>
      </c>
      <c r="J6" s="22">
        <v>0</v>
      </c>
      <c r="K6" s="23">
        <v>0</v>
      </c>
      <c r="L6" s="22">
        <v>0</v>
      </c>
      <c r="M6" s="2">
        <f t="shared" si="0"/>
        <v>0.25</v>
      </c>
      <c r="N6" s="19">
        <f t="shared" si="9"/>
        <v>0</v>
      </c>
      <c r="O6" s="2">
        <f t="shared" si="10"/>
        <v>0</v>
      </c>
      <c r="P6" s="19">
        <f t="shared" si="11"/>
        <v>0</v>
      </c>
      <c r="Q6" s="2">
        <f t="shared" si="12"/>
        <v>0</v>
      </c>
      <c r="R6" s="19">
        <f t="shared" si="13"/>
        <v>1</v>
      </c>
      <c r="S6" s="24">
        <f t="shared" si="14"/>
        <v>0.69897000433601886</v>
      </c>
      <c r="T6" s="25">
        <f t="shared" si="15"/>
        <v>0.17474250108400471</v>
      </c>
      <c r="U6" s="2">
        <f t="shared" si="16"/>
        <v>0</v>
      </c>
      <c r="V6" s="19">
        <f t="shared" si="17"/>
        <v>0</v>
      </c>
      <c r="W6" s="2">
        <f t="shared" si="18"/>
        <v>0</v>
      </c>
      <c r="X6" s="19">
        <f t="shared" si="19"/>
        <v>0</v>
      </c>
      <c r="Y6" s="19">
        <f t="shared" si="3"/>
        <v>1</v>
      </c>
      <c r="Z6" s="19">
        <f t="shared" si="4"/>
        <v>0</v>
      </c>
      <c r="AA6" s="2">
        <f t="shared" si="5"/>
        <v>0</v>
      </c>
      <c r="AB6" s="49">
        <f t="shared" si="6"/>
        <v>0</v>
      </c>
      <c r="AC6" s="43">
        <f t="shared" si="7"/>
        <v>0</v>
      </c>
      <c r="AD6" s="2">
        <f t="shared" si="8"/>
        <v>0</v>
      </c>
      <c r="AE6" s="2">
        <f t="shared" si="20"/>
        <v>0</v>
      </c>
      <c r="AF6" s="2" t="str">
        <f t="shared" si="21"/>
        <v>negatif</v>
      </c>
      <c r="AG6" s="2" t="str">
        <f t="shared" si="22"/>
        <v>negatif</v>
      </c>
      <c r="AI6" s="58"/>
      <c r="AJ6" s="58"/>
      <c r="AK6" s="6" t="s">
        <v>51</v>
      </c>
      <c r="AL6" s="6" t="s">
        <v>52</v>
      </c>
    </row>
    <row r="7" spans="1:38" x14ac:dyDescent="0.3">
      <c r="F7" s="21" t="s">
        <v>22</v>
      </c>
      <c r="G7" s="21" t="s">
        <v>1</v>
      </c>
      <c r="H7" s="22">
        <v>1</v>
      </c>
      <c r="I7" s="23">
        <v>0</v>
      </c>
      <c r="J7" s="22">
        <v>0</v>
      </c>
      <c r="K7" s="23">
        <v>0</v>
      </c>
      <c r="L7" s="22">
        <v>0</v>
      </c>
      <c r="M7" s="2">
        <f t="shared" si="0"/>
        <v>0.25</v>
      </c>
      <c r="N7" s="19">
        <f t="shared" si="9"/>
        <v>0</v>
      </c>
      <c r="O7" s="2">
        <f t="shared" si="10"/>
        <v>0</v>
      </c>
      <c r="P7" s="19">
        <f t="shared" si="11"/>
        <v>0</v>
      </c>
      <c r="Q7" s="2">
        <f t="shared" si="12"/>
        <v>0</v>
      </c>
      <c r="R7" s="19">
        <f t="shared" si="13"/>
        <v>1</v>
      </c>
      <c r="S7" s="24">
        <f t="shared" si="14"/>
        <v>0.69897000433601886</v>
      </c>
      <c r="T7" s="25">
        <f t="shared" si="15"/>
        <v>0.17474250108400471</v>
      </c>
      <c r="U7" s="2">
        <f t="shared" si="16"/>
        <v>0</v>
      </c>
      <c r="V7" s="19">
        <f t="shared" si="17"/>
        <v>0</v>
      </c>
      <c r="W7" s="2">
        <f t="shared" si="18"/>
        <v>0</v>
      </c>
      <c r="X7" s="19">
        <f t="shared" si="19"/>
        <v>0</v>
      </c>
      <c r="Y7" s="19">
        <f t="shared" si="3"/>
        <v>1</v>
      </c>
      <c r="Z7" s="19">
        <f t="shared" si="4"/>
        <v>0</v>
      </c>
      <c r="AA7" s="2">
        <f t="shared" si="5"/>
        <v>0</v>
      </c>
      <c r="AB7" s="49">
        <f t="shared" si="6"/>
        <v>0</v>
      </c>
      <c r="AC7" s="43">
        <f t="shared" si="7"/>
        <v>0</v>
      </c>
      <c r="AD7" s="2">
        <f t="shared" si="8"/>
        <v>0</v>
      </c>
      <c r="AE7" s="2">
        <f t="shared" si="20"/>
        <v>0</v>
      </c>
      <c r="AF7" s="2" t="str">
        <f>IF($AD7&lt;=SMALL($AD$4:$AD$13,$AF$3),$G7,"")</f>
        <v>negatif</v>
      </c>
      <c r="AG7" s="2" t="str">
        <f t="shared" si="22"/>
        <v>negatif</v>
      </c>
      <c r="AI7" s="59" t="s">
        <v>53</v>
      </c>
      <c r="AJ7" s="6" t="s">
        <v>51</v>
      </c>
      <c r="AK7" s="6">
        <v>3</v>
      </c>
      <c r="AL7" s="6">
        <v>0</v>
      </c>
    </row>
    <row r="8" spans="1:38" x14ac:dyDescent="0.3">
      <c r="F8" s="21" t="s">
        <v>23</v>
      </c>
      <c r="G8" s="21" t="s">
        <v>3</v>
      </c>
      <c r="H8" s="22">
        <v>0</v>
      </c>
      <c r="I8" s="23">
        <v>1</v>
      </c>
      <c r="J8" s="22">
        <v>0</v>
      </c>
      <c r="K8" s="23">
        <v>0</v>
      </c>
      <c r="L8" s="22">
        <v>0</v>
      </c>
      <c r="M8" s="2">
        <f t="shared" si="0"/>
        <v>0</v>
      </c>
      <c r="N8" s="19">
        <f t="shared" si="9"/>
        <v>0.5</v>
      </c>
      <c r="O8" s="2">
        <f t="shared" si="10"/>
        <v>0</v>
      </c>
      <c r="P8" s="19">
        <f t="shared" si="11"/>
        <v>0</v>
      </c>
      <c r="Q8" s="2">
        <f t="shared" si="12"/>
        <v>0</v>
      </c>
      <c r="R8" s="19">
        <f t="shared" si="13"/>
        <v>1</v>
      </c>
      <c r="S8" s="24">
        <f t="shared" si="14"/>
        <v>0.69897000433601886</v>
      </c>
      <c r="T8" s="19">
        <f t="shared" si="15"/>
        <v>0</v>
      </c>
      <c r="U8" s="24">
        <f t="shared" si="16"/>
        <v>0.34948500216800943</v>
      </c>
      <c r="V8" s="19">
        <f t="shared" si="17"/>
        <v>0</v>
      </c>
      <c r="W8" s="2">
        <f t="shared" si="18"/>
        <v>0</v>
      </c>
      <c r="X8" s="19">
        <f t="shared" si="19"/>
        <v>0</v>
      </c>
      <c r="Y8" s="19">
        <f t="shared" si="3"/>
        <v>0</v>
      </c>
      <c r="Z8" s="19">
        <f t="shared" si="4"/>
        <v>2</v>
      </c>
      <c r="AA8" s="2">
        <f t="shared" si="5"/>
        <v>0</v>
      </c>
      <c r="AB8" s="49">
        <f t="shared" si="6"/>
        <v>0</v>
      </c>
      <c r="AC8" s="43">
        <f t="shared" si="7"/>
        <v>0</v>
      </c>
      <c r="AD8" s="2">
        <f t="shared" si="8"/>
        <v>1.7320508075688772</v>
      </c>
      <c r="AE8" s="2">
        <f t="shared" si="20"/>
        <v>1.7320508075688772</v>
      </c>
      <c r="AF8" s="2" t="str">
        <f t="shared" si="21"/>
        <v>positif</v>
      </c>
      <c r="AG8" s="2" t="str">
        <f t="shared" si="22"/>
        <v>positif</v>
      </c>
      <c r="AI8" s="59"/>
      <c r="AJ8" s="6" t="s">
        <v>52</v>
      </c>
      <c r="AK8" s="6">
        <v>0</v>
      </c>
      <c r="AL8" s="6">
        <v>7</v>
      </c>
    </row>
    <row r="9" spans="1:38" ht="14.5" customHeight="1" x14ac:dyDescent="0.3">
      <c r="F9" s="21" t="s">
        <v>24</v>
      </c>
      <c r="G9" s="21" t="s">
        <v>3</v>
      </c>
      <c r="H9" s="22">
        <v>0</v>
      </c>
      <c r="I9" s="23">
        <v>1</v>
      </c>
      <c r="J9" s="22">
        <v>0</v>
      </c>
      <c r="K9" s="23">
        <v>0</v>
      </c>
      <c r="L9" s="22">
        <v>0</v>
      </c>
      <c r="M9" s="2">
        <f t="shared" si="0"/>
        <v>0</v>
      </c>
      <c r="N9" s="19">
        <f t="shared" si="9"/>
        <v>0.5</v>
      </c>
      <c r="O9" s="2">
        <f t="shared" si="10"/>
        <v>0</v>
      </c>
      <c r="P9" s="19">
        <f t="shared" si="11"/>
        <v>0</v>
      </c>
      <c r="Q9" s="2">
        <f t="shared" si="12"/>
        <v>0</v>
      </c>
      <c r="R9" s="19">
        <f t="shared" si="13"/>
        <v>1</v>
      </c>
      <c r="S9" s="24">
        <f t="shared" si="14"/>
        <v>0.69897000433601886</v>
      </c>
      <c r="T9" s="19">
        <f t="shared" si="15"/>
        <v>0</v>
      </c>
      <c r="U9" s="24">
        <f t="shared" si="16"/>
        <v>0.34948500216800943</v>
      </c>
      <c r="V9" s="19">
        <f t="shared" si="17"/>
        <v>0</v>
      </c>
      <c r="W9" s="2">
        <f t="shared" si="18"/>
        <v>0</v>
      </c>
      <c r="X9" s="19">
        <f t="shared" si="19"/>
        <v>0</v>
      </c>
      <c r="Y9" s="19">
        <f t="shared" si="3"/>
        <v>0</v>
      </c>
      <c r="Z9" s="19">
        <f t="shared" si="4"/>
        <v>2</v>
      </c>
      <c r="AA9" s="2">
        <f t="shared" si="5"/>
        <v>0</v>
      </c>
      <c r="AB9" s="49">
        <f t="shared" si="6"/>
        <v>0</v>
      </c>
      <c r="AC9" s="43">
        <f t="shared" si="7"/>
        <v>0</v>
      </c>
      <c r="AD9" s="2">
        <f t="shared" si="8"/>
        <v>1.7320508075688772</v>
      </c>
      <c r="AE9" s="2">
        <f t="shared" si="20"/>
        <v>1.7320508075688772</v>
      </c>
      <c r="AF9" s="2" t="str">
        <f t="shared" si="21"/>
        <v>positif</v>
      </c>
      <c r="AG9" s="2" t="str">
        <f t="shared" si="22"/>
        <v>positif</v>
      </c>
      <c r="AI9" s="58" t="s">
        <v>55</v>
      </c>
      <c r="AJ9" s="58"/>
      <c r="AK9" s="60">
        <f>(AK7+AL8)/(AK7+AL7+AK8+AL8)</f>
        <v>1</v>
      </c>
      <c r="AL9" s="60"/>
    </row>
    <row r="10" spans="1:38" x14ac:dyDescent="0.3">
      <c r="F10" s="21" t="s">
        <v>25</v>
      </c>
      <c r="G10" s="21" t="s">
        <v>1</v>
      </c>
      <c r="H10" s="22">
        <v>0</v>
      </c>
      <c r="I10" s="23">
        <v>0</v>
      </c>
      <c r="J10" s="22">
        <v>1</v>
      </c>
      <c r="K10" s="23">
        <v>0</v>
      </c>
      <c r="L10" s="22">
        <v>0</v>
      </c>
      <c r="M10" s="2">
        <f t="shared" si="0"/>
        <v>0</v>
      </c>
      <c r="N10" s="19">
        <f t="shared" si="9"/>
        <v>0</v>
      </c>
      <c r="O10" s="2">
        <f t="shared" si="10"/>
        <v>0.33</v>
      </c>
      <c r="P10" s="19">
        <f t="shared" si="11"/>
        <v>0</v>
      </c>
      <c r="Q10" s="2">
        <f t="shared" si="12"/>
        <v>0</v>
      </c>
      <c r="R10" s="19">
        <f t="shared" si="13"/>
        <v>1</v>
      </c>
      <c r="S10" s="24">
        <f t="shared" si="14"/>
        <v>0.69897000433601886</v>
      </c>
      <c r="T10" s="19">
        <f t="shared" si="15"/>
        <v>0</v>
      </c>
      <c r="U10" s="2">
        <f t="shared" si="16"/>
        <v>0</v>
      </c>
      <c r="V10" s="25">
        <f t="shared" si="17"/>
        <v>0.23066010143088622</v>
      </c>
      <c r="W10" s="2">
        <f t="shared" si="18"/>
        <v>0</v>
      </c>
      <c r="X10" s="19">
        <f t="shared" si="19"/>
        <v>0</v>
      </c>
      <c r="Y10" s="19">
        <f t="shared" si="3"/>
        <v>0</v>
      </c>
      <c r="Z10" s="19">
        <f t="shared" si="4"/>
        <v>0</v>
      </c>
      <c r="AA10" s="2">
        <f t="shared" si="5"/>
        <v>1.32</v>
      </c>
      <c r="AB10" s="49">
        <f t="shared" si="6"/>
        <v>0</v>
      </c>
      <c r="AC10" s="43">
        <f t="shared" si="7"/>
        <v>0</v>
      </c>
      <c r="AD10" s="2">
        <f t="shared" si="8"/>
        <v>0.8616263691415208</v>
      </c>
      <c r="AE10" s="2">
        <f t="shared" si="20"/>
        <v>0.8616263691415208</v>
      </c>
      <c r="AF10" s="2" t="str">
        <f t="shared" si="21"/>
        <v>negatif</v>
      </c>
      <c r="AG10" s="2" t="str">
        <f t="shared" si="22"/>
        <v>negatif</v>
      </c>
    </row>
    <row r="11" spans="1:38" x14ac:dyDescent="0.3">
      <c r="F11" s="21" t="s">
        <v>26</v>
      </c>
      <c r="G11" s="21" t="s">
        <v>1</v>
      </c>
      <c r="H11" s="22">
        <v>0</v>
      </c>
      <c r="I11" s="23">
        <v>0</v>
      </c>
      <c r="J11" s="22">
        <v>1</v>
      </c>
      <c r="K11" s="23">
        <v>0</v>
      </c>
      <c r="L11" s="22">
        <v>0</v>
      </c>
      <c r="M11" s="2">
        <f t="shared" si="0"/>
        <v>0</v>
      </c>
      <c r="N11" s="19">
        <f t="shared" si="9"/>
        <v>0</v>
      </c>
      <c r="O11" s="2">
        <f t="shared" si="10"/>
        <v>0.33</v>
      </c>
      <c r="P11" s="19">
        <f t="shared" si="11"/>
        <v>0</v>
      </c>
      <c r="Q11" s="2">
        <f t="shared" si="12"/>
        <v>0</v>
      </c>
      <c r="R11" s="19">
        <f t="shared" si="13"/>
        <v>1</v>
      </c>
      <c r="S11" s="24">
        <f t="shared" si="14"/>
        <v>0.69897000433601886</v>
      </c>
      <c r="T11" s="19">
        <f t="shared" si="15"/>
        <v>0</v>
      </c>
      <c r="U11" s="2">
        <f t="shared" si="16"/>
        <v>0</v>
      </c>
      <c r="V11" s="25">
        <f t="shared" si="17"/>
        <v>0.23066010143088622</v>
      </c>
      <c r="W11" s="2">
        <f t="shared" si="18"/>
        <v>0</v>
      </c>
      <c r="X11" s="19">
        <f t="shared" si="19"/>
        <v>0</v>
      </c>
      <c r="Y11" s="19">
        <f t="shared" si="3"/>
        <v>0</v>
      </c>
      <c r="Z11" s="19">
        <f t="shared" si="4"/>
        <v>0</v>
      </c>
      <c r="AA11" s="2">
        <f t="shared" si="5"/>
        <v>1.32</v>
      </c>
      <c r="AB11" s="49">
        <f t="shared" si="6"/>
        <v>0</v>
      </c>
      <c r="AC11" s="43">
        <f t="shared" si="7"/>
        <v>0</v>
      </c>
      <c r="AD11" s="2">
        <f t="shared" si="8"/>
        <v>0.8616263691415208</v>
      </c>
      <c r="AE11" s="2">
        <f>SQRT(($Y11-$Y$16)^2+($Z11-$Z$16)^2+($AA11-$AA$16)^2+($AB11-$AB$16)^2+($AC11-$AC$16))</f>
        <v>0.8616263691415208</v>
      </c>
      <c r="AF11" s="2" t="str">
        <f t="shared" si="21"/>
        <v>negatif</v>
      </c>
      <c r="AG11" s="2" t="str">
        <f t="shared" si="22"/>
        <v>negatif</v>
      </c>
    </row>
    <row r="12" spans="1:38" x14ac:dyDescent="0.3">
      <c r="F12" s="21" t="s">
        <v>27</v>
      </c>
      <c r="G12" s="21" t="s">
        <v>1</v>
      </c>
      <c r="H12" s="22">
        <v>0</v>
      </c>
      <c r="I12" s="23">
        <v>0</v>
      </c>
      <c r="J12" s="22">
        <v>1</v>
      </c>
      <c r="K12" s="23">
        <v>0</v>
      </c>
      <c r="L12" s="22">
        <v>0</v>
      </c>
      <c r="M12" s="2">
        <f t="shared" si="0"/>
        <v>0</v>
      </c>
      <c r="N12" s="19">
        <f t="shared" si="9"/>
        <v>0</v>
      </c>
      <c r="O12" s="2">
        <f t="shared" si="10"/>
        <v>0.33</v>
      </c>
      <c r="P12" s="19">
        <f t="shared" si="11"/>
        <v>0</v>
      </c>
      <c r="Q12" s="2">
        <f t="shared" si="12"/>
        <v>0</v>
      </c>
      <c r="R12" s="19">
        <f t="shared" si="13"/>
        <v>1</v>
      </c>
      <c r="S12" s="24">
        <f t="shared" si="14"/>
        <v>0.69897000433601886</v>
      </c>
      <c r="T12" s="19">
        <f t="shared" si="15"/>
        <v>0</v>
      </c>
      <c r="U12" s="2">
        <f t="shared" si="16"/>
        <v>0</v>
      </c>
      <c r="V12" s="25">
        <f t="shared" si="17"/>
        <v>0.23066010143088622</v>
      </c>
      <c r="W12" s="2">
        <f t="shared" si="18"/>
        <v>0</v>
      </c>
      <c r="X12" s="19">
        <f t="shared" si="19"/>
        <v>0</v>
      </c>
      <c r="Y12" s="19">
        <f t="shared" si="3"/>
        <v>0</v>
      </c>
      <c r="Z12" s="19">
        <f t="shared" si="4"/>
        <v>0</v>
      </c>
      <c r="AA12" s="2">
        <f t="shared" si="5"/>
        <v>1.32</v>
      </c>
      <c r="AB12" s="49">
        <f t="shared" si="6"/>
        <v>0</v>
      </c>
      <c r="AC12" s="43">
        <f t="shared" si="7"/>
        <v>0</v>
      </c>
      <c r="AD12" s="2">
        <f t="shared" si="8"/>
        <v>0.8616263691415208</v>
      </c>
      <c r="AE12" s="2">
        <f t="shared" si="20"/>
        <v>0.8616263691415208</v>
      </c>
      <c r="AF12" s="2" t="str">
        <f t="shared" si="21"/>
        <v>negatif</v>
      </c>
      <c r="AG12" s="2" t="str">
        <f t="shared" si="22"/>
        <v>negatif</v>
      </c>
    </row>
    <row r="13" spans="1:38" x14ac:dyDescent="0.3">
      <c r="F13" s="21" t="s">
        <v>4</v>
      </c>
      <c r="G13" s="21" t="s">
        <v>3</v>
      </c>
      <c r="H13" s="22">
        <v>0</v>
      </c>
      <c r="I13" s="23">
        <v>0</v>
      </c>
      <c r="J13" s="22">
        <v>0</v>
      </c>
      <c r="K13" s="23">
        <v>1</v>
      </c>
      <c r="L13" s="22">
        <v>0</v>
      </c>
      <c r="M13" s="2">
        <f t="shared" si="0"/>
        <v>0</v>
      </c>
      <c r="N13" s="19">
        <f t="shared" si="9"/>
        <v>0</v>
      </c>
      <c r="O13" s="2">
        <f t="shared" si="10"/>
        <v>0</v>
      </c>
      <c r="P13" s="19">
        <f t="shared" si="11"/>
        <v>1</v>
      </c>
      <c r="Q13" s="2">
        <f t="shared" si="12"/>
        <v>0</v>
      </c>
      <c r="R13" s="19">
        <f t="shared" si="13"/>
        <v>1</v>
      </c>
      <c r="S13" s="24">
        <f t="shared" si="14"/>
        <v>0.69897000433601886</v>
      </c>
      <c r="T13" s="19">
        <f t="shared" si="15"/>
        <v>0</v>
      </c>
      <c r="U13" s="2">
        <f t="shared" si="16"/>
        <v>0</v>
      </c>
      <c r="V13" s="19">
        <f t="shared" si="17"/>
        <v>0</v>
      </c>
      <c r="W13" s="24">
        <f t="shared" si="18"/>
        <v>0.69897000433601886</v>
      </c>
      <c r="X13" s="19">
        <f t="shared" si="19"/>
        <v>0</v>
      </c>
      <c r="Y13" s="19">
        <f t="shared" si="3"/>
        <v>0</v>
      </c>
      <c r="Z13" s="19">
        <f t="shared" si="4"/>
        <v>0</v>
      </c>
      <c r="AA13" s="2">
        <f t="shared" si="5"/>
        <v>0</v>
      </c>
      <c r="AB13" s="49">
        <f t="shared" si="6"/>
        <v>4</v>
      </c>
      <c r="AC13" s="43">
        <f t="shared" si="7"/>
        <v>0</v>
      </c>
      <c r="AD13" s="2">
        <f t="shared" si="8"/>
        <v>3.872983346207417</v>
      </c>
      <c r="AE13" s="2">
        <f t="shared" si="20"/>
        <v>3.872983346207417</v>
      </c>
      <c r="AF13" s="2" t="str">
        <f>IF($AD13&lt;=SMALL($AD$4:$AD$13,$AF$3),$G13,"")</f>
        <v>positif</v>
      </c>
      <c r="AG13" s="2" t="str">
        <f t="shared" si="22"/>
        <v>positif</v>
      </c>
    </row>
    <row r="14" spans="1:38" x14ac:dyDescent="0.3">
      <c r="F14" s="44" t="s">
        <v>44</v>
      </c>
      <c r="G14" s="26"/>
      <c r="H14" s="22"/>
      <c r="J14" s="22"/>
      <c r="L14" s="22"/>
      <c r="N14" s="19"/>
      <c r="P14" s="19"/>
      <c r="R14" s="19"/>
      <c r="S14" s="24"/>
      <c r="T14" s="19"/>
      <c r="V14" s="19"/>
      <c r="W14" s="24"/>
      <c r="X14" s="19"/>
      <c r="Y14" s="19"/>
      <c r="Z14" s="19"/>
      <c r="AB14" s="49"/>
      <c r="AC14" s="43"/>
    </row>
    <row r="15" spans="1:38" x14ac:dyDescent="0.3">
      <c r="F15" s="21" t="s">
        <v>28</v>
      </c>
      <c r="G15" s="21" t="s">
        <v>46</v>
      </c>
      <c r="H15" s="22">
        <v>0</v>
      </c>
      <c r="I15" s="23">
        <v>0</v>
      </c>
      <c r="J15" s="22">
        <v>0</v>
      </c>
      <c r="K15" s="23">
        <v>0</v>
      </c>
      <c r="L15" s="22">
        <v>1</v>
      </c>
      <c r="M15" s="2">
        <f t="shared" ref="M15:Q16" si="23">ROUND(H15/H$17,2)</f>
        <v>0</v>
      </c>
      <c r="N15" s="19">
        <f t="shared" si="23"/>
        <v>0</v>
      </c>
      <c r="O15" s="2">
        <f t="shared" si="23"/>
        <v>0</v>
      </c>
      <c r="P15" s="19">
        <f t="shared" si="23"/>
        <v>0</v>
      </c>
      <c r="Q15" s="2">
        <f t="shared" si="23"/>
        <v>0.5</v>
      </c>
      <c r="R15" s="19">
        <f t="shared" si="13"/>
        <v>1</v>
      </c>
      <c r="S15" s="24">
        <f t="shared" si="14"/>
        <v>0.69897000433601886</v>
      </c>
      <c r="T15" s="27">
        <f t="shared" si="15"/>
        <v>0</v>
      </c>
      <c r="U15" s="28">
        <f t="shared" si="16"/>
        <v>0</v>
      </c>
      <c r="V15" s="27">
        <f t="shared" si="17"/>
        <v>0</v>
      </c>
      <c r="W15" s="28">
        <f t="shared" si="18"/>
        <v>0</v>
      </c>
      <c r="X15" s="29">
        <f t="shared" si="19"/>
        <v>0.34948500216800943</v>
      </c>
      <c r="Y15" s="27">
        <f>($T15-$T$20)/$T$19-$T$20</f>
        <v>0</v>
      </c>
      <c r="Z15" s="27">
        <f>($U15-$T$20)/$T$19-$T$20</f>
        <v>0</v>
      </c>
      <c r="AA15" s="28">
        <f>($V15-$T$20)/$T$19-$T$20</f>
        <v>0</v>
      </c>
      <c r="AB15" s="50">
        <f>($W15-$T$20)/$T$19-$T$20</f>
        <v>0</v>
      </c>
      <c r="AC15" s="46">
        <f>($X15-$X$20)/$X$19-$X$20</f>
        <v>1</v>
      </c>
      <c r="AF15" s="2" t="s">
        <v>3</v>
      </c>
      <c r="AG15" s="2" t="s">
        <v>3</v>
      </c>
    </row>
    <row r="16" spans="1:38" x14ac:dyDescent="0.3">
      <c r="F16" s="30" t="s">
        <v>29</v>
      </c>
      <c r="G16" s="30" t="s">
        <v>47</v>
      </c>
      <c r="H16" s="31">
        <v>0</v>
      </c>
      <c r="I16" s="32">
        <v>0</v>
      </c>
      <c r="J16" s="31">
        <v>0</v>
      </c>
      <c r="K16" s="32">
        <v>0</v>
      </c>
      <c r="L16" s="31">
        <v>1</v>
      </c>
      <c r="M16" s="33">
        <f t="shared" si="23"/>
        <v>0</v>
      </c>
      <c r="N16" s="34">
        <f t="shared" si="23"/>
        <v>0</v>
      </c>
      <c r="O16" s="33">
        <f t="shared" si="23"/>
        <v>0</v>
      </c>
      <c r="P16" s="34">
        <f t="shared" si="23"/>
        <v>0</v>
      </c>
      <c r="Q16" s="33">
        <f t="shared" si="23"/>
        <v>0.5</v>
      </c>
      <c r="R16" s="34">
        <f t="shared" si="13"/>
        <v>1</v>
      </c>
      <c r="S16" s="35">
        <f t="shared" si="14"/>
        <v>0.69897000433601886</v>
      </c>
      <c r="T16" s="36">
        <f t="shared" si="15"/>
        <v>0</v>
      </c>
      <c r="U16" s="37">
        <f t="shared" si="16"/>
        <v>0</v>
      </c>
      <c r="V16" s="36">
        <f t="shared" si="17"/>
        <v>0</v>
      </c>
      <c r="W16" s="37">
        <f t="shared" si="18"/>
        <v>0</v>
      </c>
      <c r="X16" s="38">
        <f t="shared" si="19"/>
        <v>0.34948500216800943</v>
      </c>
      <c r="Y16" s="36">
        <f>($T16-$T$20)/$T$19-$T$20</f>
        <v>0</v>
      </c>
      <c r="Z16" s="36">
        <f>($U16-$T$20)/$T$19-$T$20</f>
        <v>0</v>
      </c>
      <c r="AA16" s="37">
        <f>($V16-$T$20)/$T$19-$T$20</f>
        <v>0</v>
      </c>
      <c r="AB16" s="51">
        <f>($W16-$T$20)/$T$19-$T$20</f>
        <v>0</v>
      </c>
      <c r="AC16" s="47">
        <f>($X16-$X$20)/$X$19-$X$20</f>
        <v>1</v>
      </c>
      <c r="AF16" s="2" t="s">
        <v>3</v>
      </c>
      <c r="AG16" s="2" t="s">
        <v>3</v>
      </c>
    </row>
    <row r="17" spans="6:24" x14ac:dyDescent="0.3">
      <c r="F17" s="39" t="s">
        <v>31</v>
      </c>
      <c r="G17" s="39"/>
      <c r="H17" s="1">
        <f>SUM(H4:H16)</f>
        <v>4</v>
      </c>
      <c r="I17" s="1">
        <f t="shared" ref="I17:L17" si="24">SUM(I4:I16)</f>
        <v>2</v>
      </c>
      <c r="J17" s="1">
        <f t="shared" si="24"/>
        <v>3</v>
      </c>
      <c r="K17" s="1">
        <f t="shared" si="24"/>
        <v>1</v>
      </c>
      <c r="L17" s="1">
        <f t="shared" si="24"/>
        <v>2</v>
      </c>
    </row>
    <row r="19" spans="6:24" x14ac:dyDescent="0.3">
      <c r="S19" s="2" t="s">
        <v>42</v>
      </c>
      <c r="T19" s="24">
        <f>MAX(T4:T16)</f>
        <v>0.17474250108400471</v>
      </c>
      <c r="U19" s="24">
        <f>MAX(U4:U16)</f>
        <v>0.34948500216800943</v>
      </c>
      <c r="V19" s="24">
        <f t="shared" ref="U19:X19" si="25">MAX(V4:V16)</f>
        <v>0.23066010143088622</v>
      </c>
      <c r="W19" s="24">
        <f t="shared" si="25"/>
        <v>0.69897000433601886</v>
      </c>
      <c r="X19" s="24">
        <f t="shared" si="25"/>
        <v>0.34948500216800943</v>
      </c>
    </row>
    <row r="20" spans="6:24" x14ac:dyDescent="0.3">
      <c r="S20" s="2" t="s">
        <v>41</v>
      </c>
      <c r="T20" s="24">
        <f>MIN(T4:T16)</f>
        <v>0</v>
      </c>
      <c r="U20" s="24">
        <f t="shared" ref="U20:X20" si="26">MIN(U4:U16)</f>
        <v>0</v>
      </c>
      <c r="V20" s="24">
        <f t="shared" si="26"/>
        <v>0</v>
      </c>
      <c r="W20" s="24">
        <f t="shared" si="26"/>
        <v>0</v>
      </c>
      <c r="X20" s="24">
        <f t="shared" si="26"/>
        <v>0</v>
      </c>
    </row>
  </sheetData>
  <mergeCells count="10">
    <mergeCell ref="AK5:AL5"/>
    <mergeCell ref="AI7:AI8"/>
    <mergeCell ref="AK9:AL9"/>
    <mergeCell ref="AI4:AJ6"/>
    <mergeCell ref="AI9:AJ9"/>
    <mergeCell ref="H1:L1"/>
    <mergeCell ref="M1:Q1"/>
    <mergeCell ref="T1:X1"/>
    <mergeCell ref="Y1:AC1"/>
    <mergeCell ref="AD1:AE1"/>
  </mergeCells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D014CF34-EC86-40C3-9CB9-32CC75842B6C}">
          <xm:f>'TF IDF'!$B$1:$B$6</xm:f>
        </x15:webExtension>
        <x15:webExtension appRef="{5200881E-6D71-4949-9226-23E3F8B0F4AA}">
          <xm:f>'TF IDF'!E1</xm:f>
        </x15:webExtension>
        <x15:webExtension appRef="{C61F8AA8-1CAB-43E1-974F-09FB24067D13}">
          <xm:f>'TF IDF'!E1</xm:f>
        </x15:webExtension>
        <x15:webExtension appRef="{1D11D7F3-857A-4BF7-93AF-F0BBCBD773E0}">
          <xm:f>'TF IDF'!E1:F6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 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Busukati</dc:creator>
  <cp:lastModifiedBy>Juli Yandi Rahman</cp:lastModifiedBy>
  <dcterms:created xsi:type="dcterms:W3CDTF">2015-06-05T18:17:20Z</dcterms:created>
  <dcterms:modified xsi:type="dcterms:W3CDTF">2024-03-22T03:10:11Z</dcterms:modified>
</cp:coreProperties>
</file>